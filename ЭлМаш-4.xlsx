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Станислав\Desktop\"/>
    </mc:Choice>
  </mc:AlternateContent>
  <bookViews>
    <workbookView xWindow="0" yWindow="0" windowWidth="23040" windowHeight="10644"/>
  </bookViews>
  <sheets>
    <sheet name="Элмех. хар-ки" sheetId="1" r:id="rId1"/>
    <sheet name="Регулирование частоты вращени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4" i="1" l="1"/>
  <c r="AG24" i="1"/>
  <c r="AH23" i="1" l="1"/>
  <c r="AH24" i="1"/>
  <c r="AH22" i="1"/>
  <c r="AH21" i="1"/>
  <c r="AG23" i="1"/>
  <c r="AG25" i="1"/>
  <c r="AH25" i="1" s="1"/>
  <c r="AG26" i="1"/>
  <c r="AH26" i="1" s="1"/>
  <c r="AG27" i="1"/>
  <c r="AH27" i="1" s="1"/>
  <c r="AG22" i="1"/>
  <c r="AG21" i="1"/>
  <c r="AF23" i="1"/>
  <c r="AF25" i="1"/>
  <c r="AF26" i="1"/>
  <c r="AF27" i="1"/>
  <c r="AF22" i="1"/>
  <c r="AF21" i="1"/>
</calcChain>
</file>

<file path=xl/sharedStrings.xml><?xml version="1.0" encoding="utf-8"?>
<sst xmlns="http://schemas.openxmlformats.org/spreadsheetml/2006/main" count="39" uniqueCount="15">
  <si>
    <t>I2, A</t>
  </si>
  <si>
    <t>I1, A</t>
  </si>
  <si>
    <t>n2, об/мин</t>
  </si>
  <si>
    <t>М2, Н*м</t>
  </si>
  <si>
    <t>Таб. 4.1</t>
  </si>
  <si>
    <t>U2, В</t>
  </si>
  <si>
    <t>Таб. 4.2</t>
  </si>
  <si>
    <t>Таб. 4.3</t>
  </si>
  <si>
    <t>Таб. 4.4</t>
  </si>
  <si>
    <t>Таб. 4.5</t>
  </si>
  <si>
    <t>U2, B</t>
  </si>
  <si>
    <t>Таб. 4.6</t>
  </si>
  <si>
    <t>P1, Вт</t>
  </si>
  <si>
    <t>P2, Вт</t>
  </si>
  <si>
    <t>η,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</si>
</sst>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16" fontId="0" fillId="0" borderId="0" xfId="0" applyNumberFormat="1"/>
    <xf numFmtId="0" fontId="0" fillId="2" borderId="1" xfId="0" applyFill="1" applyBorder="1" applyAlignment="1">
      <alignment horizontal="right"/>
    </xf>
    <xf numFmtId="0" fontId="0" fillId="3" borderId="2" xfId="0" applyFill="1" applyBorder="1"/>
    <xf numFmtId="0" fontId="0" fillId="2" borderId="1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Скоростные характеристики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Кривая 4.1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'Элмех. хар-ки'!$L$29:$L$37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numCache>
            </c:numRef>
          </c:cat>
          <c:val>
            <c:numRef>
              <c:f>'Элмех. хар-ки'!$D$2:$D$8</c:f>
              <c:numCache>
                <c:formatCode>General</c:formatCode>
                <c:ptCount val="7"/>
                <c:pt idx="0">
                  <c:v>1550</c:v>
                </c:pt>
                <c:pt idx="1">
                  <c:v>1500</c:v>
                </c:pt>
                <c:pt idx="2">
                  <c:v>1375</c:v>
                </c:pt>
                <c:pt idx="3">
                  <c:v>1350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1-4611-95F4-CCEF679E0548}"/>
            </c:ext>
          </c:extLst>
        </c:ser>
        <c:ser>
          <c:idx val="1"/>
          <c:order val="1"/>
          <c:tx>
            <c:v>Кривая 4.2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'Элмех. хар-ки'!$L$29:$L$37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numCache>
            </c:numRef>
          </c:cat>
          <c:val>
            <c:numRef>
              <c:f>'Элмех. хар-ки'!$J$2:$J$7</c:f>
              <c:numCache>
                <c:formatCode>General</c:formatCode>
                <c:ptCount val="6"/>
                <c:pt idx="0">
                  <c:v>1300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1225</c:v>
                </c:pt>
                <c:pt idx="5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1-4611-95F4-CCEF679E0548}"/>
            </c:ext>
          </c:extLst>
        </c:ser>
        <c:ser>
          <c:idx val="2"/>
          <c:order val="2"/>
          <c:tx>
            <c:v>Кривая 4.3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'Элмех. хар-ки'!$L$29:$L$37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numCache>
            </c:numRef>
          </c:cat>
          <c:val>
            <c:numRef>
              <c:f>'Элмех. хар-ки'!$O$2:$O$8</c:f>
              <c:numCache>
                <c:formatCode>General</c:formatCode>
                <c:ptCount val="7"/>
                <c:pt idx="0">
                  <c:v>1850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1750</c:v>
                </c:pt>
                <c:pt idx="5">
                  <c:v>1750</c:v>
                </c:pt>
                <c:pt idx="6">
                  <c:v>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51-4611-95F4-CCEF679E0548}"/>
            </c:ext>
          </c:extLst>
        </c:ser>
        <c:ser>
          <c:idx val="3"/>
          <c:order val="3"/>
          <c:tx>
            <c:v>Кривая 4.6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'Элмех. хар-ки'!$L$29:$L$37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numCache>
            </c:numRef>
          </c:cat>
          <c:val>
            <c:numRef>
              <c:f>'Элмех. хар-ки'!$Z$11:$Z$17</c:f>
              <c:numCache>
                <c:formatCode>General</c:formatCode>
                <c:ptCount val="7"/>
                <c:pt idx="0">
                  <c:v>1500</c:v>
                </c:pt>
                <c:pt idx="1">
                  <c:v>1300</c:v>
                </c:pt>
                <c:pt idx="2">
                  <c:v>1300</c:v>
                </c:pt>
                <c:pt idx="3">
                  <c:v>1250</c:v>
                </c:pt>
                <c:pt idx="4">
                  <c:v>1200</c:v>
                </c:pt>
                <c:pt idx="5">
                  <c:v>1150</c:v>
                </c:pt>
                <c:pt idx="6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51-4611-95F4-CCEF679E0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679600"/>
        <c:axId val="474683208"/>
      </c:lineChart>
      <c:catAx>
        <c:axId val="4746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683208"/>
        <c:crosses val="autoZero"/>
        <c:auto val="1"/>
        <c:lblAlgn val="ctr"/>
        <c:lblOffset val="100"/>
        <c:noMultiLvlLbl val="0"/>
      </c:catAx>
      <c:valAx>
        <c:axId val="47468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67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05450894569408"/>
          <c:y val="4.0948886670856319E-2"/>
          <c:w val="0.16903056351480419"/>
          <c:h val="0.264086355402757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Характеристика момента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'Элмех. хар-ки'!$B$2:$B$8</c:f>
              <c:numCache>
                <c:formatCode>General</c:formatCode>
                <c:ptCount val="7"/>
                <c:pt idx="0">
                  <c:v>1.2</c:v>
                </c:pt>
                <c:pt idx="1">
                  <c:v>5.5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</c:numCache>
            </c:numRef>
          </c:cat>
          <c:val>
            <c:numRef>
              <c:f>'Элмех. хар-ки'!$E$2:$E$8</c:f>
              <c:numCache>
                <c:formatCode>General</c:formatCode>
                <c:ptCount val="7"/>
                <c:pt idx="0">
                  <c:v>0</c:v>
                </c:pt>
                <c:pt idx="1">
                  <c:v>7.5</c:v>
                </c:pt>
                <c:pt idx="2">
                  <c:v>10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2-4275-BD08-EDC48AA5E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674656"/>
        <c:axId val="383668752"/>
      </c:lineChart>
      <c:catAx>
        <c:axId val="38367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668752"/>
        <c:crosses val="autoZero"/>
        <c:auto val="1"/>
        <c:lblAlgn val="ctr"/>
        <c:lblOffset val="100"/>
        <c:noMultiLvlLbl val="0"/>
      </c:catAx>
      <c:valAx>
        <c:axId val="38366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67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'Элмех. хар-ки'!$AD$20</c:f>
              <c:strCache>
                <c:ptCount val="1"/>
                <c:pt idx="0">
                  <c:v>n2, об/мин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'Элмех. хар-ки'!$AD$21:$AD$27</c:f>
              <c:numCache>
                <c:formatCode>General</c:formatCode>
                <c:ptCount val="7"/>
                <c:pt idx="0">
                  <c:v>1550</c:v>
                </c:pt>
                <c:pt idx="1">
                  <c:v>1500</c:v>
                </c:pt>
                <c:pt idx="2">
                  <c:v>1375</c:v>
                </c:pt>
                <c:pt idx="3">
                  <c:v>1350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45C-4519-8295-25D648126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984000"/>
        <c:axId val="552986296"/>
      </c:lineChart>
      <c:lineChart>
        <c:grouping val="standard"/>
        <c:varyColors val="0"/>
        <c:ser>
          <c:idx val="0"/>
          <c:order val="0"/>
          <c:tx>
            <c:strRef>
              <c:f>'Элмех. хар-ки'!$AA$20</c:f>
              <c:strCache>
                <c:ptCount val="1"/>
                <c:pt idx="0">
                  <c:v>U2, 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'Элмех. хар-ки'!$AA$21:$AA$27</c:f>
              <c:numCache>
                <c:formatCode>General</c:formatCode>
                <c:ptCount val="7"/>
                <c:pt idx="0">
                  <c:v>220</c:v>
                </c:pt>
                <c:pt idx="1">
                  <c:v>210</c:v>
                </c:pt>
                <c:pt idx="2">
                  <c:v>200</c:v>
                </c:pt>
                <c:pt idx="3">
                  <c:v>195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C-4519-8295-25D648126AB1}"/>
            </c:ext>
          </c:extLst>
        </c:ser>
        <c:ser>
          <c:idx val="1"/>
          <c:order val="1"/>
          <c:tx>
            <c:strRef>
              <c:f>'Элмех. хар-ки'!$AB$20</c:f>
              <c:strCache>
                <c:ptCount val="1"/>
                <c:pt idx="0">
                  <c:v>I2,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'Элмех. хар-ки'!$AB$21:$AB$27</c:f>
              <c:numCache>
                <c:formatCode>General</c:formatCode>
                <c:ptCount val="7"/>
                <c:pt idx="0">
                  <c:v>1.2</c:v>
                </c:pt>
                <c:pt idx="1">
                  <c:v>5.5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5C-4519-8295-25D648126AB1}"/>
            </c:ext>
          </c:extLst>
        </c:ser>
        <c:ser>
          <c:idx val="2"/>
          <c:order val="2"/>
          <c:tx>
            <c:strRef>
              <c:f>'Элмех. хар-ки'!$AC$20</c:f>
              <c:strCache>
                <c:ptCount val="1"/>
                <c:pt idx="0">
                  <c:v>I1, 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'Элмех. хар-ки'!$AC$21:$AC$27</c:f>
              <c:numCache>
                <c:formatCode>General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5C-4519-8295-25D648126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16912"/>
        <c:axId val="187017568"/>
      </c:lineChart>
      <c:valAx>
        <c:axId val="552986296"/>
        <c:scaling>
          <c:orientation val="minMax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2984000"/>
        <c:crosses val="max"/>
        <c:crossBetween val="between"/>
      </c:valAx>
      <c:catAx>
        <c:axId val="552984000"/>
        <c:scaling>
          <c:orientation val="minMax"/>
        </c:scaling>
        <c:delete val="1"/>
        <c:axPos val="b"/>
        <c:majorTickMark val="out"/>
        <c:minorTickMark val="none"/>
        <c:tickLblPos val="nextTo"/>
        <c:crossAx val="552986296"/>
        <c:crosses val="autoZero"/>
        <c:auto val="1"/>
        <c:lblAlgn val="ctr"/>
        <c:lblOffset val="100"/>
        <c:noMultiLvlLbl val="0"/>
      </c:catAx>
      <c:valAx>
        <c:axId val="187017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016912"/>
        <c:crosses val="autoZero"/>
        <c:crossBetween val="between"/>
      </c:valAx>
      <c:catAx>
        <c:axId val="187016912"/>
        <c:scaling>
          <c:orientation val="minMax"/>
        </c:scaling>
        <c:delete val="1"/>
        <c:axPos val="b"/>
        <c:majorTickMark val="out"/>
        <c:minorTickMark val="none"/>
        <c:tickLblPos val="nextTo"/>
        <c:crossAx val="187017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Регулировочные характеристики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Кривая 4.4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'Элмех. хар-ки'!$W$12:$W$17</c:f>
              <c:numCache>
                <c:formatCode>General</c:formatCode>
                <c:ptCount val="6"/>
                <c:pt idx="0">
                  <c:v>0.5</c:v>
                </c:pt>
                <c:pt idx="1">
                  <c:v>0.55000000000000004</c:v>
                </c:pt>
                <c:pt idx="2">
                  <c:v>0.65</c:v>
                </c:pt>
                <c:pt idx="3">
                  <c:v>0.75</c:v>
                </c:pt>
                <c:pt idx="4">
                  <c:v>0.85</c:v>
                </c:pt>
                <c:pt idx="5">
                  <c:v>0.95</c:v>
                </c:pt>
              </c:numCache>
            </c:numRef>
          </c:cat>
          <c:val>
            <c:numRef>
              <c:f>'Элмех. хар-ки'!$U$12:$U$17</c:f>
              <c:numCache>
                <c:formatCode>General</c:formatCode>
                <c:ptCount val="6"/>
                <c:pt idx="0">
                  <c:v>1900</c:v>
                </c:pt>
                <c:pt idx="1">
                  <c:v>1800</c:v>
                </c:pt>
                <c:pt idx="2">
                  <c:v>1650</c:v>
                </c:pt>
                <c:pt idx="3">
                  <c:v>1500</c:v>
                </c:pt>
                <c:pt idx="4">
                  <c:v>1450</c:v>
                </c:pt>
                <c:pt idx="5">
                  <c:v>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0-464D-83DF-164220948858}"/>
            </c:ext>
          </c:extLst>
        </c:ser>
        <c:ser>
          <c:idx val="1"/>
          <c:order val="1"/>
          <c:tx>
            <c:v>Кривая 4.5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'Элмех. хар-ки'!$W$12:$W$17</c:f>
              <c:numCache>
                <c:formatCode>General</c:formatCode>
                <c:ptCount val="6"/>
                <c:pt idx="0">
                  <c:v>0.5</c:v>
                </c:pt>
                <c:pt idx="1">
                  <c:v>0.55000000000000004</c:v>
                </c:pt>
                <c:pt idx="2">
                  <c:v>0.65</c:v>
                </c:pt>
                <c:pt idx="3">
                  <c:v>0.75</c:v>
                </c:pt>
                <c:pt idx="4">
                  <c:v>0.85</c:v>
                </c:pt>
                <c:pt idx="5">
                  <c:v>0.95</c:v>
                </c:pt>
              </c:numCache>
            </c:numRef>
          </c:cat>
          <c:val>
            <c:numRef>
              <c:f>'Элмех. хар-ки'!$X$12:$X$17</c:f>
              <c:numCache>
                <c:formatCode>General</c:formatCode>
                <c:ptCount val="6"/>
                <c:pt idx="0">
                  <c:v>1850</c:v>
                </c:pt>
                <c:pt idx="1">
                  <c:v>1700</c:v>
                </c:pt>
                <c:pt idx="2">
                  <c:v>1500</c:v>
                </c:pt>
                <c:pt idx="3">
                  <c:v>1350</c:v>
                </c:pt>
                <c:pt idx="4">
                  <c:v>1250</c:v>
                </c:pt>
                <c:pt idx="5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80-464D-83DF-164220948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359512"/>
        <c:axId val="511353280"/>
      </c:lineChart>
      <c:catAx>
        <c:axId val="51135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1353280"/>
        <c:crosses val="autoZero"/>
        <c:auto val="1"/>
        <c:lblAlgn val="ctr"/>
        <c:lblOffset val="100"/>
        <c:noMultiLvlLbl val="0"/>
      </c:catAx>
      <c:valAx>
        <c:axId val="51135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135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9</xdr:row>
      <xdr:rowOff>175260</xdr:rowOff>
    </xdr:from>
    <xdr:to>
      <xdr:col>8</xdr:col>
      <xdr:colOff>281940</xdr:colOff>
      <xdr:row>27</xdr:row>
      <xdr:rowOff>129540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121920</xdr:colOff>
      <xdr:row>28</xdr:row>
      <xdr:rowOff>30480</xdr:rowOff>
    </xdr:from>
    <xdr:to>
      <xdr:col>7</xdr:col>
      <xdr:colOff>167640</xdr:colOff>
      <xdr:row>43</xdr:row>
      <xdr:rowOff>30480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182880</xdr:colOff>
      <xdr:row>23</xdr:row>
      <xdr:rowOff>38100</xdr:rowOff>
    </xdr:from>
    <xdr:to>
      <xdr:col>25</xdr:col>
      <xdr:colOff>251460</xdr:colOff>
      <xdr:row>38</xdr:row>
      <xdr:rowOff>38100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167640</xdr:colOff>
      <xdr:row>9</xdr:row>
      <xdr:rowOff>38100</xdr:rowOff>
    </xdr:from>
    <xdr:to>
      <xdr:col>17</xdr:col>
      <xdr:colOff>274320</xdr:colOff>
      <xdr:row>24</xdr:row>
      <xdr:rowOff>38100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"/>
  <sheetViews>
    <sheetView tabSelected="1" topLeftCell="J1" workbookViewId="0">
      <selection activeCell="S15" sqref="S15"/>
    </sheetView>
  </sheetViews>
  <sheetFormatPr defaultRowHeight="14.4" x14ac:dyDescent="0.3"/>
  <cols>
    <col min="4" max="4" width="12.6640625" customWidth="1"/>
    <col min="10" max="10" width="12.109375" customWidth="1"/>
    <col min="15" max="15" width="11.77734375" customWidth="1"/>
    <col min="20" max="20" width="12.21875" customWidth="1"/>
    <col min="25" max="25" width="11" customWidth="1"/>
    <col min="30" max="30" width="10.6640625" customWidth="1"/>
  </cols>
  <sheetData>
    <row r="1" spans="1:30" x14ac:dyDescent="0.3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G1" s="1" t="s">
        <v>5</v>
      </c>
      <c r="H1" s="1" t="s">
        <v>1</v>
      </c>
      <c r="I1" s="1" t="s">
        <v>0</v>
      </c>
      <c r="J1" s="1" t="s">
        <v>2</v>
      </c>
      <c r="L1" s="1" t="s">
        <v>5</v>
      </c>
      <c r="M1" s="1" t="s">
        <v>1</v>
      </c>
      <c r="N1" s="1" t="s">
        <v>0</v>
      </c>
      <c r="O1" s="1" t="s">
        <v>2</v>
      </c>
      <c r="Q1" s="1" t="s">
        <v>5</v>
      </c>
      <c r="R1" s="1" t="s">
        <v>0</v>
      </c>
      <c r="S1" s="1" t="s">
        <v>1</v>
      </c>
      <c r="T1" s="1" t="s">
        <v>2</v>
      </c>
      <c r="V1" s="1" t="s">
        <v>5</v>
      </c>
      <c r="W1" s="1" t="s">
        <v>0</v>
      </c>
      <c r="X1" s="1" t="s">
        <v>1</v>
      </c>
      <c r="Y1" s="1" t="s">
        <v>2</v>
      </c>
      <c r="AA1" s="1" t="s">
        <v>1</v>
      </c>
      <c r="AB1" s="1" t="s">
        <v>0</v>
      </c>
      <c r="AC1" s="1" t="s">
        <v>10</v>
      </c>
      <c r="AD1" s="1" t="s">
        <v>2</v>
      </c>
    </row>
    <row r="2" spans="1:30" x14ac:dyDescent="0.3">
      <c r="A2" s="1">
        <v>220</v>
      </c>
      <c r="B2" s="1">
        <v>1.2</v>
      </c>
      <c r="C2" s="1">
        <v>0.8</v>
      </c>
      <c r="D2" s="1">
        <v>1550</v>
      </c>
      <c r="E2" s="1">
        <v>0</v>
      </c>
      <c r="G2" s="1">
        <v>200</v>
      </c>
      <c r="H2" s="1">
        <v>1</v>
      </c>
      <c r="I2" s="1">
        <v>1</v>
      </c>
      <c r="J2" s="1">
        <v>1300</v>
      </c>
      <c r="L2" s="1">
        <v>200</v>
      </c>
      <c r="M2" s="1">
        <v>0.5</v>
      </c>
      <c r="N2" s="1">
        <v>1.5</v>
      </c>
      <c r="O2" s="1">
        <v>1850</v>
      </c>
      <c r="Q2" s="1">
        <v>220</v>
      </c>
      <c r="R2" s="1">
        <v>1</v>
      </c>
      <c r="S2" s="1">
        <v>1</v>
      </c>
      <c r="T2" s="1">
        <v>1375</v>
      </c>
      <c r="V2" s="1">
        <v>200</v>
      </c>
      <c r="W2" s="1">
        <v>13.5</v>
      </c>
      <c r="X2" s="1">
        <v>0.95</v>
      </c>
      <c r="Y2" s="1">
        <v>1200</v>
      </c>
      <c r="AA2" s="1">
        <v>0.8</v>
      </c>
      <c r="AB2" s="1">
        <v>15</v>
      </c>
      <c r="AC2" s="1">
        <v>160</v>
      </c>
      <c r="AD2" s="1">
        <v>1100</v>
      </c>
    </row>
    <row r="3" spans="1:30" x14ac:dyDescent="0.3">
      <c r="A3" s="1">
        <v>210</v>
      </c>
      <c r="B3" s="1">
        <v>5.5</v>
      </c>
      <c r="C3" s="1">
        <v>0.8</v>
      </c>
      <c r="D3" s="1">
        <v>1500</v>
      </c>
      <c r="E3" s="1">
        <v>7.5</v>
      </c>
      <c r="G3" s="1">
        <v>200</v>
      </c>
      <c r="H3" s="1">
        <v>1</v>
      </c>
      <c r="I3" s="1">
        <v>4.5</v>
      </c>
      <c r="J3" s="1">
        <v>1250</v>
      </c>
      <c r="L3" s="1">
        <v>195</v>
      </c>
      <c r="M3" s="1">
        <v>0.5</v>
      </c>
      <c r="N3" s="1">
        <v>6.5</v>
      </c>
      <c r="O3" s="1">
        <v>1800</v>
      </c>
      <c r="Q3" s="1">
        <v>220</v>
      </c>
      <c r="R3" s="1">
        <v>1</v>
      </c>
      <c r="S3" s="1">
        <v>0.9</v>
      </c>
      <c r="T3" s="1">
        <v>1450</v>
      </c>
      <c r="V3" s="1">
        <v>200</v>
      </c>
      <c r="W3" s="1">
        <v>13.5</v>
      </c>
      <c r="X3" s="1">
        <v>0.85</v>
      </c>
      <c r="Y3" s="1">
        <v>1250</v>
      </c>
      <c r="AA3" s="1">
        <v>0.8</v>
      </c>
      <c r="AB3" s="1">
        <v>13</v>
      </c>
      <c r="AC3" s="1">
        <v>170</v>
      </c>
      <c r="AD3" s="1">
        <v>1150</v>
      </c>
    </row>
    <row r="4" spans="1:30" x14ac:dyDescent="0.3">
      <c r="A4" s="1">
        <v>200</v>
      </c>
      <c r="B4" s="1">
        <v>7</v>
      </c>
      <c r="C4" s="1">
        <v>0.8</v>
      </c>
      <c r="D4" s="1">
        <v>1375</v>
      </c>
      <c r="E4" s="1">
        <v>10</v>
      </c>
      <c r="G4" s="1">
        <v>200</v>
      </c>
      <c r="H4" s="1">
        <v>1</v>
      </c>
      <c r="I4" s="1">
        <v>7</v>
      </c>
      <c r="J4" s="1">
        <v>1250</v>
      </c>
      <c r="L4" s="1">
        <v>195</v>
      </c>
      <c r="M4" s="1">
        <v>0.5</v>
      </c>
      <c r="N4" s="1">
        <v>8</v>
      </c>
      <c r="O4" s="1">
        <v>1800</v>
      </c>
      <c r="Q4" s="1">
        <v>220</v>
      </c>
      <c r="R4" s="1">
        <v>1</v>
      </c>
      <c r="S4" s="1">
        <v>0.8</v>
      </c>
      <c r="T4" s="1">
        <v>1500</v>
      </c>
      <c r="V4" s="1">
        <v>200</v>
      </c>
      <c r="W4" s="1">
        <v>13.5</v>
      </c>
      <c r="X4" s="1">
        <v>0.75</v>
      </c>
      <c r="Y4" s="1">
        <v>1350</v>
      </c>
      <c r="AA4" s="1">
        <v>0.8</v>
      </c>
      <c r="AB4" s="1">
        <v>11</v>
      </c>
      <c r="AC4" s="1">
        <v>175</v>
      </c>
      <c r="AD4" s="1">
        <v>1200</v>
      </c>
    </row>
    <row r="5" spans="1:30" x14ac:dyDescent="0.3">
      <c r="A5" s="1">
        <v>195</v>
      </c>
      <c r="B5" s="1">
        <v>9</v>
      </c>
      <c r="C5" s="1">
        <v>0.8</v>
      </c>
      <c r="D5" s="1">
        <v>1350</v>
      </c>
      <c r="E5" s="1">
        <v>12</v>
      </c>
      <c r="G5" s="1">
        <v>200</v>
      </c>
      <c r="H5" s="1">
        <v>1</v>
      </c>
      <c r="I5" s="1">
        <v>9</v>
      </c>
      <c r="J5" s="1">
        <v>1250</v>
      </c>
      <c r="L5" s="1">
        <v>190</v>
      </c>
      <c r="M5" s="1">
        <v>0.5</v>
      </c>
      <c r="N5" s="1">
        <v>10</v>
      </c>
      <c r="O5" s="1">
        <v>1800</v>
      </c>
      <c r="Q5" s="1">
        <v>220</v>
      </c>
      <c r="R5" s="1">
        <v>1</v>
      </c>
      <c r="S5" s="1">
        <v>0.7</v>
      </c>
      <c r="T5" s="1">
        <v>1650</v>
      </c>
      <c r="V5" s="1">
        <v>200</v>
      </c>
      <c r="W5" s="1">
        <v>13.5</v>
      </c>
      <c r="X5" s="1">
        <v>0.65</v>
      </c>
      <c r="Y5" s="1">
        <v>1500</v>
      </c>
      <c r="AA5" s="1">
        <v>0.8</v>
      </c>
      <c r="AB5" s="1">
        <v>9</v>
      </c>
      <c r="AC5" s="1">
        <v>180</v>
      </c>
      <c r="AD5" s="1">
        <v>1250</v>
      </c>
    </row>
    <row r="6" spans="1:30" x14ac:dyDescent="0.3">
      <c r="A6" s="1">
        <v>190</v>
      </c>
      <c r="B6" s="1">
        <v>11</v>
      </c>
      <c r="C6" s="1">
        <v>0.8</v>
      </c>
      <c r="D6" s="1">
        <v>1300</v>
      </c>
      <c r="E6" s="1">
        <v>15</v>
      </c>
      <c r="G6" s="1">
        <v>190</v>
      </c>
      <c r="H6" s="1">
        <v>0.95</v>
      </c>
      <c r="I6" s="1">
        <v>11</v>
      </c>
      <c r="J6" s="1">
        <v>1225</v>
      </c>
      <c r="L6" s="1">
        <v>190</v>
      </c>
      <c r="M6" s="1">
        <v>0.5</v>
      </c>
      <c r="N6" s="1">
        <v>12</v>
      </c>
      <c r="O6" s="1">
        <v>1750</v>
      </c>
      <c r="Q6" s="1">
        <v>220</v>
      </c>
      <c r="R6" s="1">
        <v>1</v>
      </c>
      <c r="S6" s="1">
        <v>0.6</v>
      </c>
      <c r="T6" s="1">
        <v>1800</v>
      </c>
      <c r="V6" s="1">
        <v>200</v>
      </c>
      <c r="W6" s="1">
        <v>13.5</v>
      </c>
      <c r="X6" s="1">
        <v>0.55000000000000004</v>
      </c>
      <c r="Y6" s="1">
        <v>1700</v>
      </c>
      <c r="AA6" s="1">
        <v>0.8</v>
      </c>
      <c r="AB6" s="1">
        <v>7</v>
      </c>
      <c r="AC6" s="1">
        <v>190</v>
      </c>
      <c r="AD6" s="1">
        <v>1300</v>
      </c>
    </row>
    <row r="7" spans="1:30" x14ac:dyDescent="0.3">
      <c r="A7" s="1">
        <v>190</v>
      </c>
      <c r="B7" s="1">
        <v>13</v>
      </c>
      <c r="C7" s="1">
        <v>0.8</v>
      </c>
      <c r="D7" s="1">
        <v>1300</v>
      </c>
      <c r="E7" s="1">
        <v>18</v>
      </c>
      <c r="G7" s="1">
        <v>190</v>
      </c>
      <c r="H7" s="1">
        <v>0.95</v>
      </c>
      <c r="I7" s="1">
        <v>13</v>
      </c>
      <c r="J7" s="1">
        <v>1200</v>
      </c>
      <c r="L7" s="1">
        <v>190</v>
      </c>
      <c r="M7" s="1">
        <v>0.5</v>
      </c>
      <c r="N7" s="1">
        <v>14</v>
      </c>
      <c r="O7" s="1">
        <v>1750</v>
      </c>
      <c r="Q7" s="1">
        <v>220</v>
      </c>
      <c r="R7" s="1">
        <v>1</v>
      </c>
      <c r="S7" s="1">
        <v>0.55000000000000004</v>
      </c>
      <c r="T7" s="1">
        <v>1900</v>
      </c>
      <c r="V7" s="1">
        <v>200</v>
      </c>
      <c r="W7" s="1">
        <v>13.5</v>
      </c>
      <c r="X7" s="1">
        <v>0.5</v>
      </c>
      <c r="Y7" s="1">
        <v>1850</v>
      </c>
      <c r="AA7" s="1">
        <v>0.8</v>
      </c>
      <c r="AB7" s="1">
        <v>5</v>
      </c>
      <c r="AC7" s="1">
        <v>190</v>
      </c>
      <c r="AD7" s="1">
        <v>1300</v>
      </c>
    </row>
    <row r="8" spans="1:30" x14ac:dyDescent="0.3">
      <c r="A8" s="1">
        <v>190</v>
      </c>
      <c r="B8" s="1">
        <v>14</v>
      </c>
      <c r="C8" s="1">
        <v>0.8</v>
      </c>
      <c r="D8" s="1">
        <v>1300</v>
      </c>
      <c r="E8" s="1">
        <v>20</v>
      </c>
      <c r="J8" t="s">
        <v>6</v>
      </c>
      <c r="L8" s="1">
        <v>190</v>
      </c>
      <c r="M8" s="1">
        <v>0.5</v>
      </c>
      <c r="N8" s="1">
        <v>16.5</v>
      </c>
      <c r="O8" s="1">
        <v>1750</v>
      </c>
      <c r="Q8" s="4"/>
      <c r="R8" s="4"/>
      <c r="T8" t="s">
        <v>8</v>
      </c>
      <c r="Y8" t="s">
        <v>9</v>
      </c>
      <c r="AA8" s="1">
        <v>0.8</v>
      </c>
      <c r="AB8" s="1">
        <v>1</v>
      </c>
      <c r="AC8" s="1">
        <v>215</v>
      </c>
      <c r="AD8" s="1">
        <v>1500</v>
      </c>
    </row>
    <row r="9" spans="1:30" x14ac:dyDescent="0.3">
      <c r="E9" s="2" t="s">
        <v>4</v>
      </c>
      <c r="O9" t="s">
        <v>7</v>
      </c>
      <c r="AD9" t="s">
        <v>11</v>
      </c>
    </row>
    <row r="11" spans="1:30" x14ac:dyDescent="0.3">
      <c r="Y11">
        <v>1</v>
      </c>
      <c r="Z11">
        <v>1500</v>
      </c>
    </row>
    <row r="12" spans="1:30" x14ac:dyDescent="0.3">
      <c r="T12">
        <v>0.55000000000000004</v>
      </c>
      <c r="U12">
        <v>1900</v>
      </c>
      <c r="W12">
        <v>0.5</v>
      </c>
      <c r="X12">
        <v>1850</v>
      </c>
      <c r="Y12">
        <v>5</v>
      </c>
      <c r="Z12">
        <v>1300</v>
      </c>
    </row>
    <row r="13" spans="1:30" x14ac:dyDescent="0.3">
      <c r="T13">
        <v>0.6</v>
      </c>
      <c r="U13">
        <v>1800</v>
      </c>
      <c r="W13">
        <v>0.55000000000000004</v>
      </c>
      <c r="X13">
        <v>1700</v>
      </c>
      <c r="Y13">
        <v>7</v>
      </c>
      <c r="Z13">
        <v>1300</v>
      </c>
    </row>
    <row r="14" spans="1:30" x14ac:dyDescent="0.3">
      <c r="T14">
        <v>0.7</v>
      </c>
      <c r="U14">
        <v>1650</v>
      </c>
      <c r="W14">
        <v>0.65</v>
      </c>
      <c r="X14">
        <v>1500</v>
      </c>
      <c r="Y14">
        <v>9</v>
      </c>
      <c r="Z14">
        <v>1250</v>
      </c>
    </row>
    <row r="15" spans="1:30" x14ac:dyDescent="0.3">
      <c r="T15">
        <v>0.8</v>
      </c>
      <c r="U15">
        <v>1500</v>
      </c>
      <c r="W15">
        <v>0.75</v>
      </c>
      <c r="X15">
        <v>1350</v>
      </c>
      <c r="Y15">
        <v>11</v>
      </c>
      <c r="Z15">
        <v>1200</v>
      </c>
    </row>
    <row r="16" spans="1:30" x14ac:dyDescent="0.3">
      <c r="T16">
        <v>0.9</v>
      </c>
      <c r="U16">
        <v>1450</v>
      </c>
      <c r="W16">
        <v>0.85</v>
      </c>
      <c r="X16">
        <v>1250</v>
      </c>
      <c r="Y16">
        <v>13</v>
      </c>
      <c r="Z16">
        <v>1150</v>
      </c>
    </row>
    <row r="17" spans="12:34" x14ac:dyDescent="0.3">
      <c r="T17">
        <v>1</v>
      </c>
      <c r="U17">
        <v>1375</v>
      </c>
      <c r="W17">
        <v>0.95</v>
      </c>
      <c r="X17">
        <v>1200</v>
      </c>
      <c r="Y17">
        <v>15</v>
      </c>
      <c r="Z17">
        <v>1100</v>
      </c>
    </row>
    <row r="20" spans="12:34" x14ac:dyDescent="0.3">
      <c r="AA20" s="3" t="s">
        <v>5</v>
      </c>
      <c r="AB20" s="3" t="s">
        <v>0</v>
      </c>
      <c r="AC20" s="3" t="s">
        <v>1</v>
      </c>
      <c r="AD20" s="3" t="s">
        <v>2</v>
      </c>
      <c r="AE20" s="3" t="s">
        <v>3</v>
      </c>
      <c r="AF20" s="3" t="s">
        <v>12</v>
      </c>
      <c r="AG20" s="3" t="s">
        <v>13</v>
      </c>
      <c r="AH20" s="5" t="s">
        <v>14</v>
      </c>
    </row>
    <row r="21" spans="12:34" x14ac:dyDescent="0.3">
      <c r="AA21" s="1">
        <v>220</v>
      </c>
      <c r="AB21" s="1">
        <v>1.2</v>
      </c>
      <c r="AC21" s="1">
        <v>0.8</v>
      </c>
      <c r="AD21" s="1">
        <v>1550</v>
      </c>
      <c r="AE21" s="1">
        <v>0</v>
      </c>
      <c r="AF21" s="1">
        <f>AA21*(AB21+AC21)</f>
        <v>440</v>
      </c>
      <c r="AG21" s="1">
        <f>0.1047*AE21*AD21</f>
        <v>0</v>
      </c>
      <c r="AH21" s="1">
        <f>100*(AG21/AF21)</f>
        <v>0</v>
      </c>
    </row>
    <row r="22" spans="12:34" x14ac:dyDescent="0.3">
      <c r="AA22" s="1">
        <v>210</v>
      </c>
      <c r="AB22" s="1">
        <v>5.5</v>
      </c>
      <c r="AC22" s="1">
        <v>0.8</v>
      </c>
      <c r="AD22" s="1">
        <v>1500</v>
      </c>
      <c r="AE22" s="1">
        <v>7.5</v>
      </c>
      <c r="AF22" s="1">
        <f>AA22*(AB22+AC22)</f>
        <v>1323</v>
      </c>
      <c r="AG22" s="1">
        <f>0.1047*AE22*AD22</f>
        <v>1177.875</v>
      </c>
      <c r="AH22" s="1">
        <f>100*(AG22/AF22)</f>
        <v>89.030612244897952</v>
      </c>
    </row>
    <row r="23" spans="12:34" x14ac:dyDescent="0.3">
      <c r="AA23" s="1">
        <v>200</v>
      </c>
      <c r="AB23" s="1">
        <v>7</v>
      </c>
      <c r="AC23" s="1">
        <v>0.8</v>
      </c>
      <c r="AD23" s="1">
        <v>1375</v>
      </c>
      <c r="AE23" s="1">
        <v>10</v>
      </c>
      <c r="AF23" s="1">
        <f t="shared" ref="AF23:AF27" si="0">AA23*(AB23+AC23)</f>
        <v>1560</v>
      </c>
      <c r="AG23" s="1">
        <f t="shared" ref="AG23:AG27" si="1">0.1047*AE23*AD23</f>
        <v>1439.625</v>
      </c>
      <c r="AH23" s="1">
        <f t="shared" ref="AH23:AH27" si="2">100*(AG23/AF23)</f>
        <v>92.28365384615384</v>
      </c>
    </row>
    <row r="24" spans="12:34" x14ac:dyDescent="0.3">
      <c r="AA24" s="1">
        <v>195</v>
      </c>
      <c r="AB24" s="1">
        <v>9</v>
      </c>
      <c r="AC24" s="1">
        <v>0.8</v>
      </c>
      <c r="AD24" s="1">
        <v>1350</v>
      </c>
      <c r="AE24" s="1">
        <v>12</v>
      </c>
      <c r="AF24" s="1">
        <f>AA24*(AB24+AC24)</f>
        <v>1911.0000000000002</v>
      </c>
      <c r="AG24" s="1">
        <f>0.1047*AE24*AD24</f>
        <v>1696.1399999999999</v>
      </c>
      <c r="AH24" s="1">
        <f t="shared" si="2"/>
        <v>88.756671899529024</v>
      </c>
    </row>
    <row r="25" spans="12:34" x14ac:dyDescent="0.3">
      <c r="AA25" s="1">
        <v>190</v>
      </c>
      <c r="AB25" s="1">
        <v>11</v>
      </c>
      <c r="AC25" s="1">
        <v>0.8</v>
      </c>
      <c r="AD25" s="1">
        <v>1300</v>
      </c>
      <c r="AE25" s="1">
        <v>15</v>
      </c>
      <c r="AF25" s="1">
        <f t="shared" si="0"/>
        <v>2242</v>
      </c>
      <c r="AG25" s="1">
        <f t="shared" si="1"/>
        <v>2041.65</v>
      </c>
      <c r="AH25" s="1">
        <f t="shared" si="2"/>
        <v>91.06378233719893</v>
      </c>
    </row>
    <row r="26" spans="12:34" x14ac:dyDescent="0.3">
      <c r="AA26" s="1">
        <v>190</v>
      </c>
      <c r="AB26" s="1">
        <v>13</v>
      </c>
      <c r="AC26" s="1">
        <v>0.8</v>
      </c>
      <c r="AD26" s="1">
        <v>1300</v>
      </c>
      <c r="AE26" s="1">
        <v>18</v>
      </c>
      <c r="AF26" s="1">
        <f t="shared" si="0"/>
        <v>2622</v>
      </c>
      <c r="AG26" s="1">
        <f t="shared" si="1"/>
        <v>2449.98</v>
      </c>
      <c r="AH26" s="1">
        <f t="shared" si="2"/>
        <v>93.439359267734559</v>
      </c>
    </row>
    <row r="27" spans="12:34" x14ac:dyDescent="0.3">
      <c r="AA27" s="1">
        <v>190</v>
      </c>
      <c r="AB27" s="1">
        <v>14</v>
      </c>
      <c r="AC27" s="1">
        <v>0.8</v>
      </c>
      <c r="AD27" s="1">
        <v>1300</v>
      </c>
      <c r="AE27" s="1">
        <v>20</v>
      </c>
      <c r="AF27" s="1">
        <f t="shared" si="0"/>
        <v>2812</v>
      </c>
      <c r="AG27" s="1">
        <f t="shared" si="1"/>
        <v>2722.2</v>
      </c>
      <c r="AH27" s="1">
        <f t="shared" si="2"/>
        <v>96.806543385490755</v>
      </c>
    </row>
    <row r="29" spans="12:34" x14ac:dyDescent="0.3">
      <c r="L29">
        <v>2</v>
      </c>
    </row>
    <row r="30" spans="12:34" x14ac:dyDescent="0.3">
      <c r="L30">
        <v>4</v>
      </c>
    </row>
    <row r="31" spans="12:34" x14ac:dyDescent="0.3">
      <c r="L31">
        <v>6</v>
      </c>
    </row>
    <row r="32" spans="12:34" x14ac:dyDescent="0.3">
      <c r="L32">
        <v>8</v>
      </c>
    </row>
    <row r="33" spans="12:30" x14ac:dyDescent="0.3">
      <c r="L33">
        <v>10</v>
      </c>
    </row>
    <row r="34" spans="12:30" x14ac:dyDescent="0.3">
      <c r="L34">
        <v>12</v>
      </c>
    </row>
    <row r="35" spans="12:30" x14ac:dyDescent="0.3">
      <c r="L35">
        <v>14</v>
      </c>
      <c r="AD35">
        <v>1000</v>
      </c>
    </row>
    <row r="36" spans="12:30" x14ac:dyDescent="0.3">
      <c r="L36">
        <v>16</v>
      </c>
      <c r="AD36">
        <v>2000</v>
      </c>
    </row>
    <row r="37" spans="12:30" x14ac:dyDescent="0.3">
      <c r="L37">
        <v>18</v>
      </c>
      <c r="AD37">
        <v>3000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Элмех. хар-ки</vt:lpstr>
      <vt:lpstr>Регулирование частоты вращения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Хамидулин</dc:creator>
  <cp:lastModifiedBy>Станислав Хамидулин</cp:lastModifiedBy>
  <dcterms:created xsi:type="dcterms:W3CDTF">2025-10-26T14:08:35Z</dcterms:created>
  <dcterms:modified xsi:type="dcterms:W3CDTF">2025-10-30T00:23:21Z</dcterms:modified>
</cp:coreProperties>
</file>